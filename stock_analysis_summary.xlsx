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\Project_2\"/>
    </mc:Choice>
  </mc:AlternateContent>
  <xr:revisionPtr revIDLastSave="0" documentId="13_ncr:9_{AE205551-FBAE-46BD-9318-A7E6B7381719}" xr6:coauthVersionLast="47" xr6:coauthVersionMax="47" xr10:uidLastSave="{00000000-0000-0000-0000-000000000000}"/>
  <bookViews>
    <workbookView xWindow="-108" yWindow="-108" windowWidth="23256" windowHeight="12456" xr2:uid="{E93FF981-82A6-4C90-8F50-269D2C75B4B7}"/>
  </bookViews>
  <sheets>
    <sheet name="stock_summary" sheetId="1" r:id="rId1"/>
  </sheets>
  <calcPr calcId="0"/>
  <pivotCaches>
    <pivotCache cacheId="3" r:id="rId2"/>
  </pivotCaches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<sst xmlns="http://schemas.openxmlformats.org/spreadsheetml/2006/main" count="57" uniqueCount="35">
  <si>
    <t>Market</t>
  </si>
  <si>
    <t>Avg_Daily_Return</t>
  </si>
  <si>
    <t>Avg_Volatility</t>
  </si>
  <si>
    <t>Avg_Close</t>
  </si>
  <si>
    <t>Return_Pct</t>
  </si>
  <si>
    <t>AAPL</t>
  </si>
  <si>
    <t>US</t>
  </si>
  <si>
    <t>AMZN</t>
  </si>
  <si>
    <t>AXISBANK.NS</t>
  </si>
  <si>
    <t>India</t>
  </si>
  <si>
    <t>BAJFINANCE.NS</t>
  </si>
  <si>
    <t>GOOGL</t>
  </si>
  <si>
    <t>HDFCBANK.NS</t>
  </si>
  <si>
    <t>HINDUNILVR.NS</t>
  </si>
  <si>
    <t>ICICIBANK.NS</t>
  </si>
  <si>
    <t>INFY.NS</t>
  </si>
  <si>
    <t>JNJ</t>
  </si>
  <si>
    <t>JPM</t>
  </si>
  <si>
    <t>META</t>
  </si>
  <si>
    <t>MSFT</t>
  </si>
  <si>
    <t>NVDA</t>
  </si>
  <si>
    <t>RELIANCE.NS</t>
  </si>
  <si>
    <t>SBIN.NS</t>
  </si>
  <si>
    <t>TCS.NS</t>
  </si>
  <si>
    <t>TSLA</t>
  </si>
  <si>
    <t>V</t>
  </si>
  <si>
    <t>WIPRO.NS</t>
  </si>
  <si>
    <t>Column1</t>
  </si>
  <si>
    <t>MARKET</t>
  </si>
  <si>
    <t>Avg Return %</t>
  </si>
  <si>
    <t>Row Labels</t>
  </si>
  <si>
    <t>Grand Total</t>
  </si>
  <si>
    <t>Average of Avg_Volatility</t>
  </si>
  <si>
    <t>Average of Avg_Daily_Return</t>
  </si>
  <si>
    <t>Average of Return_Pct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</si>
</sst>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[stock_analysis_summary.xlsx]stock_summary!PivotTable1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stock_summary!$L$1</c:f>
              <c:strCache>
                <c:ptCount val="1"/>
                <c:pt idx="0">
                  <c:v>Average of Avg_Volatility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stock_summary!$K$2:$K$4</c:f>
              <c:strCache>
                <c:ptCount val="2"/>
                <c:pt idx="0">
                  <c:v>India</c:v>
                </c:pt>
                <c:pt idx="1">
                  <c:v>US</c:v>
                </c:pt>
              </c:strCache>
            </c:strRef>
          </c:cat>
          <c:val>
            <c:numRef>
              <c:f>stock_summary!$L$2:$L$4</c:f>
              <c:numCache>
                <c:formatCode>General</c:formatCode>
                <c:ptCount val="2"/>
                <c:pt idx="0">
                  <c:v>1.5639999999999998</c:v>
                </c:pt>
                <c:pt idx="1">
                  <c:v>1.9060000000000001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1-4623-ADE6-744DA61C8E18}"/>
            </c:ext>
          </c:extLst>
        </c:ser>
        <c:ser>
          <c:idx val="1"/>
          <c:order val="1"/>
          <c:tx>
            <c:strRef>
              <c:f>stock_summary!$M$1</c:f>
              <c:strCache>
                <c:ptCount val="1"/>
                <c:pt idx="0">
                  <c:v>Average of Avg_Daily_Return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stock_summary!$K$2:$K$4</c:f>
              <c:strCache>
                <c:ptCount val="2"/>
                <c:pt idx="0">
                  <c:v>India</c:v>
                </c:pt>
                <c:pt idx="1">
                  <c:v>US</c:v>
                </c:pt>
              </c:strCache>
            </c:strRef>
          </c:cat>
          <c:val>
            <c:numRef>
              <c:f>stock_summary!$M$2:$M$4</c:f>
              <c:numCache>
                <c:formatCode>General</c:formatCode>
                <c:ptCount val="2"/>
                <c:pt idx="0">
                  <c:v>6.8000000000000019E-2</c:v>
                </c:pt>
                <c:pt idx="1">
                  <c:v>0.11800000000000002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1-4623-ADE6-744DA61C8E18}"/>
            </c:ext>
          </c:extLst>
        </c:ser>
        <c:ser>
          <c:idx val="2"/>
          <c:order val="2"/>
          <c:tx>
            <c:strRef>
              <c:f>stock_summary!$N$1</c:f>
              <c:strCache>
                <c:ptCount val="1"/>
                <c:pt idx="0">
                  <c:v>Average of Return_Pct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stock_summary!$K$2:$K$4</c:f>
              <c:strCache>
                <c:ptCount val="2"/>
                <c:pt idx="0">
                  <c:v>India</c:v>
                </c:pt>
                <c:pt idx="1">
                  <c:v>US</c:v>
                </c:pt>
              </c:strCache>
            </c:strRef>
          </c:cat>
          <c:val>
            <c:numRef>
              <c:f>stock_summary!$N$2:$N$4</c:f>
              <c:numCache>
                <c:formatCode>General</c:formatCode>
                <c:ptCount val="2"/>
                <c:pt idx="0">
                  <c:v>364.30400000000003</c:v>
                </c:pt>
                <c:pt idx="1">
                  <c:v>3017.6879999999996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1-4623-ADE6-744DA61C8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99023"/>
        <c:axId val="124211503"/>
      </c:barChart>
      <c:catAx>
        <c:axId val="1241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1503"/>
        <c:crosses val="autoZero"/>
        <c:auto val="1"/>
        <c:lblAlgn val="ctr"/>
        <c:lblOffset val="100"/>
        <c:noMultiLvlLbl val="0"/>
      </c:catAx>
      <c:valAx>
        <c:axId val="1242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270510</xdr:colOff>
      <xdr:row>6</xdr:row>
      <xdr:rowOff>22866</xdr:rowOff>
    </xdr:from>
    <xdr:to>
      <xdr:col>13</xdr:col>
      <xdr:colOff>125730</xdr:colOff>
      <xdr:row>21</xdr:row>
      <xdr:rowOff>22866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5ED3F-3CC6-FBB0-B8C6-00D3FDE34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5.516657638887" createdVersion="8" refreshedVersion="8" minRefreshableVersion="3" recordCount="20" xr:uid="{CA4A9C6A-B62A-4A55-8390-F02F1610FDEF}">
  <cacheSource type="worksheet">
    <worksheetSource name="StockSummary"/>
  </cacheSource>
  <cacheFields count="6">
    <cacheField name="Column1" numFmtId="0">
      <sharedItems/>
    </cacheField>
    <cacheField name="Market" numFmtId="0">
      <sharedItems count="2">
        <s v="US"/>
        <s v="India"/>
      </sharedItems>
    </cacheField>
    <cacheField name="Avg_Daily_Return" numFmtId="0">
      <sharedItems containsSemiMixedTypes="0" containsString="0" containsNumber="1" minValue="0.04" maxValue="0.26"/>
    </cacheField>
    <cacheField name="Avg_Volatility" numFmtId="0">
      <sharedItems containsSemiMixedTypes="0" containsString="0" containsNumber="1" minValue="1.04" maxValue="3.43"/>
    </cacheField>
    <cacheField name="Avg_Close" numFmtId="0">
      <sharedItems containsSemiMixedTypes="0" containsString="0" containsNumber="1" minValue="42.94" maxValue="2410.92"/>
    </cacheField>
    <cacheField name="Return_Pct" numFmtId="0">
      <sharedItems containsSemiMixedTypes="0" containsString="0" containsNumber="1" minValue="105.6" maxValue="21907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NVDA"/>
    <x v="0"/>
    <n v="0.26"/>
    <n v="2.89"/>
    <n v="42.94"/>
    <n v="21907.68"/>
  </r>
  <r>
    <s v="TSLA"/>
    <x v="0"/>
    <n v="0.2"/>
    <n v="3.43"/>
    <n v="164.19"/>
    <n v="3031.71"/>
  </r>
  <r>
    <s v="AAPL"/>
    <x v="0"/>
    <n v="0.12"/>
    <n v="1.63"/>
    <n v="122.97"/>
    <n v="1330.59"/>
  </r>
  <r>
    <s v="BAJFINANCE.NS"/>
    <x v="1"/>
    <n v="0.12"/>
    <n v="2.0099999999999998"/>
    <n v="498.92"/>
    <n v="1122.3399999999999"/>
  </r>
  <r>
    <s v="GOOGL"/>
    <x v="0"/>
    <n v="0.11"/>
    <n v="1.68"/>
    <n v="110.5"/>
    <n v="977.64"/>
  </r>
  <r>
    <s v="MSFT"/>
    <x v="0"/>
    <n v="0.1"/>
    <n v="1.52"/>
    <n v="235.9"/>
    <n v="807.27"/>
  </r>
  <r>
    <s v="AMZN"/>
    <x v="0"/>
    <n v="0.1"/>
    <n v="1.87"/>
    <n v="127.91"/>
    <n v="648.87"/>
  </r>
  <r>
    <s v="JPM"/>
    <x v="0"/>
    <n v="0.09"/>
    <n v="1.49"/>
    <n v="135.41"/>
    <n v="550"/>
  </r>
  <r>
    <s v="ICICIBANK.NS"/>
    <x v="1"/>
    <n v="0.09"/>
    <n v="1.63"/>
    <n v="685.15"/>
    <n v="545.66"/>
  </r>
  <r>
    <s v="RELIANCE.NS"/>
    <x v="1"/>
    <n v="0.09"/>
    <n v="1.53"/>
    <n v="891.86"/>
    <n v="533.45000000000005"/>
  </r>
  <r>
    <s v="SBIN.NS"/>
    <x v="1"/>
    <n v="0.09"/>
    <n v="1.8"/>
    <n v="455.36"/>
    <n v="485.4"/>
  </r>
  <r>
    <s v="META"/>
    <x v="0"/>
    <n v="0.09"/>
    <n v="2.16"/>
    <n v="297.81"/>
    <n v="407.25"/>
  </r>
  <r>
    <s v="V"/>
    <x v="0"/>
    <n v="7.0000000000000007E-2"/>
    <n v="1.35"/>
    <n v="198.65"/>
    <n v="355.87"/>
  </r>
  <r>
    <s v="HINDUNILVR.NS"/>
    <x v="1"/>
    <n v="0.05"/>
    <n v="1.25"/>
    <n v="1898.91"/>
    <n v="222.49"/>
  </r>
  <r>
    <s v="HDFCBANK.NS"/>
    <x v="1"/>
    <n v="0.05"/>
    <n v="1.25"/>
    <n v="635.01"/>
    <n v="187.57"/>
  </r>
  <r>
    <s v="AXISBANK.NS"/>
    <x v="1"/>
    <n v="0.06"/>
    <n v="1.76"/>
    <n v="782.41"/>
    <n v="164.09"/>
  </r>
  <r>
    <s v="JNJ"/>
    <x v="0"/>
    <n v="0.04"/>
    <n v="1.04"/>
    <n v="134.79"/>
    <n v="160"/>
  </r>
  <r>
    <s v="INFY.NS"/>
    <x v="1"/>
    <n v="0.05"/>
    <n v="1.52"/>
    <n v="1035.76"/>
    <n v="146.69999999999999"/>
  </r>
  <r>
    <s v="TCS.NS"/>
    <x v="1"/>
    <n v="0.04"/>
    <n v="1.39"/>
    <n v="2410.92"/>
    <n v="129.74"/>
  </r>
  <r>
    <s v="WIPRO.NS"/>
    <x v="1"/>
    <n v="0.04"/>
    <n v="1.5"/>
    <n v="172.56"/>
    <n v="105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37882-E038-4A4E-86DD-6C2A1EB9C24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1:N4" firstHeaderRow="0" firstDataRow="1" firstDataCol="1"/>
  <pivotFields count="6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Volatility" fld="3" subtotal="average" baseField="1" baseItem="0"/>
    <dataField name="Average of Avg_Daily_Return" fld="2" subtotal="average" baseField="1" baseItem="0"/>
    <dataField name="Average of Return_Pct" fld="5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E130A-6807-43EA-BC53-842B9435B4D7}" name="StockSummary" displayName="StockSummary" ref="A1:F21" totalsRowShown="0">
  <autoFilter ref="A1:F21" xr:uid="{39CE130A-6807-43EA-BC53-842B9435B4D7}"/>
  <sortState xmlns:xlrd2="http://schemas.microsoft.com/office/spreadsheetml/2017/richdata2" ref="A2:F21">
    <sortCondition descending="1" ref="F1:F21"/>
  </sortState>
  <tableColumns count="6">
    <tableColumn id="1" xr3:uid="{C1E14612-9D6B-4233-A1C0-B6778C1B547B}" name="Column1"/>
    <tableColumn id="2" xr3:uid="{13691B8B-5C96-4365-8F6C-8FA485087794}" name="Market"/>
    <tableColumn id="3" xr3:uid="{18A9E7D9-2BD2-4717-B980-4196A79E3698}" name="Avg_Daily_Return"/>
    <tableColumn id="4" xr3:uid="{261A3B8E-EC19-448D-8EF6-6EBAA608FC76}" name="Avg_Volatility"/>
    <tableColumn id="5" xr3:uid="{775C78FD-F0D6-4A9E-B811-098E6D1C6690}" name="Avg_Close"/>
    <tableColumn id="6" xr3:uid="{904065EE-2521-4990-AB8A-FCEB23D80CE6}" name="Retur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4FF-1DC7-414C-860B-9B5275C62897}">
  <dimension ref="A1:N21"/>
  <sheetViews>
    <sheetView tabSelected="1" topLeftCell="F1" zoomScale="93" workbookViewId="0">
      <selection activeCell="Q13" sqref="Q13"/>
    </sheetView>
  </sheetViews>
  <sheetFormatPr defaultRowHeight="14.4" x14ac:dyDescent="0.3"/>
  <cols>
    <col min="2" max="2" width="9" customWidth="1"/>
    <col min="3" max="3" width="17.88671875" customWidth="1"/>
    <col min="4" max="4" width="14.5546875" customWidth="1"/>
    <col min="5" max="5" width="11.5546875" customWidth="1"/>
    <col min="6" max="6" width="12.21875" customWidth="1"/>
    <col min="11" max="11" width="12.5546875" bestFit="1" customWidth="1"/>
    <col min="12" max="12" width="22.5546875" bestFit="1" customWidth="1"/>
    <col min="13" max="13" width="26" bestFit="1" customWidth="1"/>
    <col min="14" max="14" width="20.109375" bestFit="1" customWidth="1"/>
  </cols>
  <sheetData>
    <row r="1" spans="1:14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28</v>
      </c>
      <c r="I1" t="s">
        <v>29</v>
      </c>
      <c r="K1" s="1" t="s">
        <v>30</v>
      </c>
      <c r="L1" t="s">
        <v>32</v>
      </c>
      <c r="M1" t="s">
        <v>33</v>
      </c>
      <c r="N1" t="s">
        <v>34</v>
      </c>
    </row>
    <row r="2" spans="1:14" x14ac:dyDescent="0.3">
      <c r="A2" t="s">
        <v>20</v>
      </c>
      <c r="B2" t="s">
        <v>6</v>
      </c>
      <c r="C2">
        <v>0.26</v>
      </c>
      <c r="D2">
        <v>2.89</v>
      </c>
      <c r="E2">
        <v>42.94</v>
      </c>
      <c r="F2">
        <v>21907.68</v>
      </c>
      <c r="H2" t="s">
        <v>9</v>
      </c>
      <c r="I2">
        <f>AVERAGEIF(StockSummary[Market], "India", StockSummary[Return_Pct])</f>
        <v>364.30400000000003</v>
      </c>
      <c r="K2" s="2" t="s">
        <v>9</v>
      </c>
      <c r="L2" s="3">
        <v>1.5639999999999998</v>
      </c>
      <c r="M2" s="3">
        <v>6.8000000000000019E-2</v>
      </c>
      <c r="N2" s="3">
        <v>364.30400000000003</v>
      </c>
    </row>
    <row r="3" spans="1:14" x14ac:dyDescent="0.3">
      <c r="A3" t="s">
        <v>24</v>
      </c>
      <c r="B3" t="s">
        <v>6</v>
      </c>
      <c r="C3">
        <v>0.2</v>
      </c>
      <c r="D3">
        <v>3.43</v>
      </c>
      <c r="E3">
        <v>164.19</v>
      </c>
      <c r="F3">
        <v>3031.71</v>
      </c>
      <c r="H3" t="s">
        <v>6</v>
      </c>
      <c r="I3">
        <f>AVERAGEIF(StockSummary[Market], "US", StockSummary[Return_Pct])</f>
        <v>3017.6879999999996</v>
      </c>
      <c r="K3" s="2" t="s">
        <v>6</v>
      </c>
      <c r="L3" s="3">
        <v>1.9060000000000001</v>
      </c>
      <c r="M3" s="3">
        <v>0.11800000000000002</v>
      </c>
      <c r="N3" s="3">
        <v>3017.6879999999996</v>
      </c>
    </row>
    <row r="4" spans="1:14" x14ac:dyDescent="0.3">
      <c r="A4" t="s">
        <v>5</v>
      </c>
      <c r="B4" t="s">
        <v>6</v>
      </c>
      <c r="C4">
        <v>0.12</v>
      </c>
      <c r="D4">
        <v>1.63</v>
      </c>
      <c r="E4">
        <v>122.97</v>
      </c>
      <c r="F4">
        <v>1330.59</v>
      </c>
      <c r="K4" s="2" t="s">
        <v>31</v>
      </c>
      <c r="L4" s="3">
        <v>1.7349999999999999</v>
      </c>
      <c r="M4" s="3">
        <v>9.3000000000000041E-2</v>
      </c>
      <c r="N4" s="3">
        <v>1690.9960000000003</v>
      </c>
    </row>
    <row r="5" spans="1:14" x14ac:dyDescent="0.3">
      <c r="A5" t="s">
        <v>10</v>
      </c>
      <c r="B5" t="s">
        <v>9</v>
      </c>
      <c r="C5">
        <v>0.12</v>
      </c>
      <c r="D5">
        <v>2.0099999999999998</v>
      </c>
      <c r="E5">
        <v>498.92</v>
      </c>
      <c r="F5">
        <v>1122.3399999999999</v>
      </c>
    </row>
    <row r="6" spans="1:14" x14ac:dyDescent="0.3">
      <c r="A6" t="s">
        <v>11</v>
      </c>
      <c r="B6" t="s">
        <v>6</v>
      </c>
      <c r="C6">
        <v>0.11</v>
      </c>
      <c r="D6">
        <v>1.68</v>
      </c>
      <c r="E6">
        <v>110.5</v>
      </c>
      <c r="F6">
        <v>977.64</v>
      </c>
    </row>
    <row r="7" spans="1:14" x14ac:dyDescent="0.3">
      <c r="A7" t="s">
        <v>19</v>
      </c>
      <c r="B7" t="s">
        <v>6</v>
      </c>
      <c r="C7">
        <v>0.1</v>
      </c>
      <c r="D7">
        <v>1.52</v>
      </c>
      <c r="E7">
        <v>235.9</v>
      </c>
      <c r="F7">
        <v>807.27</v>
      </c>
    </row>
    <row r="8" spans="1:14" x14ac:dyDescent="0.3">
      <c r="A8" t="s">
        <v>7</v>
      </c>
      <c r="B8" t="s">
        <v>6</v>
      </c>
      <c r="C8">
        <v>0.1</v>
      </c>
      <c r="D8">
        <v>1.87</v>
      </c>
      <c r="E8">
        <v>127.91</v>
      </c>
      <c r="F8">
        <v>648.87</v>
      </c>
    </row>
    <row r="9" spans="1:14" x14ac:dyDescent="0.3">
      <c r="A9" t="s">
        <v>17</v>
      </c>
      <c r="B9" t="s">
        <v>6</v>
      </c>
      <c r="C9">
        <v>0.09</v>
      </c>
      <c r="D9">
        <v>1.49</v>
      </c>
      <c r="E9">
        <v>135.41</v>
      </c>
      <c r="F9">
        <v>550</v>
      </c>
    </row>
    <row r="10" spans="1:14" x14ac:dyDescent="0.3">
      <c r="A10" t="s">
        <v>14</v>
      </c>
      <c r="B10" t="s">
        <v>9</v>
      </c>
      <c r="C10">
        <v>0.09</v>
      </c>
      <c r="D10">
        <v>1.63</v>
      </c>
      <c r="E10">
        <v>685.15</v>
      </c>
      <c r="F10">
        <v>545.66</v>
      </c>
    </row>
    <row r="11" spans="1:14" x14ac:dyDescent="0.3">
      <c r="A11" t="s">
        <v>21</v>
      </c>
      <c r="B11" t="s">
        <v>9</v>
      </c>
      <c r="C11">
        <v>0.09</v>
      </c>
      <c r="D11">
        <v>1.53</v>
      </c>
      <c r="E11">
        <v>891.86</v>
      </c>
      <c r="F11">
        <v>533.45000000000005</v>
      </c>
    </row>
    <row r="12" spans="1:14" x14ac:dyDescent="0.3">
      <c r="A12" t="s">
        <v>22</v>
      </c>
      <c r="B12" t="s">
        <v>9</v>
      </c>
      <c r="C12">
        <v>0.09</v>
      </c>
      <c r="D12">
        <v>1.8</v>
      </c>
      <c r="E12">
        <v>455.36</v>
      </c>
      <c r="F12">
        <v>485.4</v>
      </c>
    </row>
    <row r="13" spans="1:14" x14ac:dyDescent="0.3">
      <c r="A13" t="s">
        <v>18</v>
      </c>
      <c r="B13" t="s">
        <v>6</v>
      </c>
      <c r="C13">
        <v>0.09</v>
      </c>
      <c r="D13">
        <v>2.16</v>
      </c>
      <c r="E13">
        <v>297.81</v>
      </c>
      <c r="F13">
        <v>407.25</v>
      </c>
    </row>
    <row r="14" spans="1:14" x14ac:dyDescent="0.3">
      <c r="A14" t="s">
        <v>25</v>
      </c>
      <c r="B14" t="s">
        <v>6</v>
      </c>
      <c r="C14">
        <v>7.0000000000000007E-2</v>
      </c>
      <c r="D14">
        <v>1.35</v>
      </c>
      <c r="E14">
        <v>198.65</v>
      </c>
      <c r="F14">
        <v>355.87</v>
      </c>
    </row>
    <row r="15" spans="1:14" x14ac:dyDescent="0.3">
      <c r="A15" t="s">
        <v>13</v>
      </c>
      <c r="B15" t="s">
        <v>9</v>
      </c>
      <c r="C15">
        <v>0.05</v>
      </c>
      <c r="D15">
        <v>1.25</v>
      </c>
      <c r="E15">
        <v>1898.91</v>
      </c>
      <c r="F15">
        <v>222.49</v>
      </c>
    </row>
    <row r="16" spans="1:14" x14ac:dyDescent="0.3">
      <c r="A16" t="s">
        <v>12</v>
      </c>
      <c r="B16" t="s">
        <v>9</v>
      </c>
      <c r="C16">
        <v>0.05</v>
      </c>
      <c r="D16">
        <v>1.25</v>
      </c>
      <c r="E16">
        <v>635.01</v>
      </c>
      <c r="F16">
        <v>187.57</v>
      </c>
    </row>
    <row r="17" spans="1:6" x14ac:dyDescent="0.3">
      <c r="A17" t="s">
        <v>8</v>
      </c>
      <c r="B17" t="s">
        <v>9</v>
      </c>
      <c r="C17">
        <v>0.06</v>
      </c>
      <c r="D17">
        <v>1.76</v>
      </c>
      <c r="E17">
        <v>782.41</v>
      </c>
      <c r="F17">
        <v>164.09</v>
      </c>
    </row>
    <row r="18" spans="1:6" x14ac:dyDescent="0.3">
      <c r="A18" t="s">
        <v>16</v>
      </c>
      <c r="B18" t="s">
        <v>6</v>
      </c>
      <c r="C18">
        <v>0.04</v>
      </c>
      <c r="D18">
        <v>1.04</v>
      </c>
      <c r="E18">
        <v>134.79</v>
      </c>
      <c r="F18">
        <v>160</v>
      </c>
    </row>
    <row r="19" spans="1:6" x14ac:dyDescent="0.3">
      <c r="A19" t="s">
        <v>15</v>
      </c>
      <c r="B19" t="s">
        <v>9</v>
      </c>
      <c r="C19">
        <v>0.05</v>
      </c>
      <c r="D19">
        <v>1.52</v>
      </c>
      <c r="E19">
        <v>1035.76</v>
      </c>
      <c r="F19">
        <v>146.69999999999999</v>
      </c>
    </row>
    <row r="20" spans="1:6" x14ac:dyDescent="0.3">
      <c r="A20" t="s">
        <v>23</v>
      </c>
      <c r="B20" t="s">
        <v>9</v>
      </c>
      <c r="C20">
        <v>0.04</v>
      </c>
      <c r="D20">
        <v>1.39</v>
      </c>
      <c r="E20">
        <v>2410.92</v>
      </c>
      <c r="F20">
        <v>129.74</v>
      </c>
    </row>
    <row r="21" spans="1:6" x14ac:dyDescent="0.3">
      <c r="A21" t="s">
        <v>26</v>
      </c>
      <c r="B21" t="s">
        <v>9</v>
      </c>
      <c r="C21">
        <v>0.04</v>
      </c>
      <c r="D21">
        <v>1.5</v>
      </c>
      <c r="E21">
        <v>172.56</v>
      </c>
      <c r="F21">
        <v>105.6</v>
      </c>
    </row>
  </sheetData>
  <conditionalFormatting sqref="F2:F21">
    <cfRule type="top10" dxfId="0" priority="1" bottom="1" rank="5"/>
  </conditionalFormatting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Anirban Dutta</cp:lastModifiedBy>
  <dcterms:created xsi:type="dcterms:W3CDTF">2026-05-13T07:03:25Z</dcterms:created>
  <dcterms:modified xsi:type="dcterms:W3CDTF">2026-05-13T07:04:38Z</dcterms:modified>
</cp:coreProperties>
</file>